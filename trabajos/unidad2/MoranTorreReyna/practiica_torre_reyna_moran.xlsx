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in\Downloads\"/>
    </mc:Choice>
  </mc:AlternateContent>
  <xr:revisionPtr revIDLastSave="0" documentId="8_{989202BB-B422-42C7-8A9E-FB1DEC5A9156}" xr6:coauthVersionLast="47" xr6:coauthVersionMax="47" xr10:uidLastSave="{00000000-0000-0000-0000-000000000000}"/>
  <bookViews>
    <workbookView xWindow="-120" yWindow="-120" windowWidth="29040" windowHeight="16440" xr2:uid="{37F434C9-F850-4939-B987-12AC3FD6FD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58" i="1" l="1"/>
  <c r="S59" i="1" s="1"/>
  <c r="K46" i="1"/>
  <c r="P12" i="1"/>
  <c r="D15" i="1" s="1"/>
  <c r="J15" i="1"/>
  <c r="J16" i="1" s="1"/>
  <c r="L15" i="1" l="1"/>
  <c r="L16" i="1" s="1"/>
  <c r="K15" i="1"/>
  <c r="K16" i="1" s="1"/>
  <c r="F15" i="1"/>
  <c r="F16" i="1" s="1"/>
  <c r="G15" i="1"/>
  <c r="G16" i="1" s="1"/>
  <c r="H15" i="1"/>
  <c r="H16" i="1" s="1"/>
  <c r="E15" i="1"/>
  <c r="E16" i="1" s="1"/>
  <c r="I15" i="1"/>
  <c r="I16" i="1" s="1"/>
  <c r="D16" i="1" l="1"/>
  <c r="D17" i="1" s="1"/>
  <c r="L46" i="1" s="1"/>
  <c r="M46" i="1" s="1"/>
</calcChain>
</file>

<file path=xl/sharedStrings.xml><?xml version="1.0" encoding="utf-8"?>
<sst xmlns="http://schemas.openxmlformats.org/spreadsheetml/2006/main" count="162" uniqueCount="75">
  <si>
    <t>PRACTICA AUTOCORELACION DE MORAN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</si>
  <si>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</si>
  <si>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</si>
  <si>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</si>
  <si>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</si>
  <si>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</si>
  <si>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</si>
  <si>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</si>
  <si>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</si>
  <si>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</si>
  <si>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Indice de parcela</t>
  </si>
  <si>
    <t>Numeramos las 9 celdas de izquierda a derecha, fila por fila (P1…P9)</t>
  </si>
  <si>
    <t>Rendimiento (t/ha)</t>
  </si>
  <si>
    <t>PASO 1 — Datos y desviaciones</t>
  </si>
  <si>
    <t>Parcela</t>
  </si>
  <si>
    <t>zᵢ (t/ha)</t>
  </si>
  <si>
    <t>dᵢ = zᵢ − z̄</t>
  </si>
  <si>
    <t>dᵢ²</t>
  </si>
  <si>
    <t>Denominador Σdᵢ²</t>
  </si>
  <si>
    <t>z̄ =</t>
  </si>
  <si>
    <t>TORRE (rook) — solo ortogonales</t>
  </si>
  <si>
    <t>REINA (queen) — ortogonales + diagonales</t>
  </si>
  <si>
    <t>W total = 24</t>
  </si>
  <si>
    <t>W total = 40</t>
  </si>
  <si>
    <t xml:space="preserve">PASO 2 — Matrices de pesos W </t>
  </si>
  <si>
    <t>paso 3 y 4</t>
  </si>
  <si>
    <t>Par vecino</t>
  </si>
  <si>
    <t>dᵢ</t>
  </si>
  <si>
    <t>dⱼ</t>
  </si>
  <si>
    <t>dᵢ · dⱼ</t>
  </si>
  <si>
    <t>P1–P2</t>
  </si>
  <si>
    <t>P1–P4</t>
  </si>
  <si>
    <t>P2–P3</t>
  </si>
  <si>
    <t>P2–P5</t>
  </si>
  <si>
    <t>P3–P6</t>
  </si>
  <si>
    <t>P4–P5</t>
  </si>
  <si>
    <t>P4–P7</t>
  </si>
  <si>
    <t>P5–P6</t>
  </si>
  <si>
    <t>P5–P8</t>
  </si>
  <si>
    <t>P6–P9</t>
  </si>
  <si>
    <t>P7–P8</t>
  </si>
  <si>
    <t>P8–P9</t>
  </si>
  <si>
    <t>Suma pares únicos</t>
  </si>
  <si>
    <t>Numerador = 2 × suma</t>
  </si>
  <si>
    <t>n</t>
  </si>
  <si>
    <t>W (total pesos)</t>
  </si>
  <si>
    <t>Numerador</t>
  </si>
  <si>
    <t>I = (n/W)×(Num/Den)</t>
  </si>
  <si>
    <t>E[I] = −1/(n−1)</t>
  </si>
  <si>
    <t xml:space="preserve"> Ensamblar I Torre</t>
  </si>
  <si>
    <t>Tipo</t>
  </si>
  <si>
    <t>ortogonal</t>
  </si>
  <si>
    <t>P1–P5</t>
  </si>
  <si>
    <t>diagonal</t>
  </si>
  <si>
    <t>P2–P4</t>
  </si>
  <si>
    <t>P2–P6</t>
  </si>
  <si>
    <t>P3–P5</t>
  </si>
  <si>
    <t>P4–P8</t>
  </si>
  <si>
    <t>P5–P7</t>
  </si>
  <si>
    <t>P5–P9</t>
  </si>
  <si>
    <t>P6–P8</t>
  </si>
  <si>
    <t>Índice de Moran REINA (queen)</t>
  </si>
  <si>
    <t xml:space="preserve"> Ensamblar I Reina</t>
  </si>
  <si>
    <t>RESUMEN COMPARATIVO — Índice de Moran</t>
  </si>
  <si>
    <t>Parámetro</t>
  </si>
  <si>
    <t>Torre (rook)</t>
  </si>
  <si>
    <t>Reina (queen)</t>
  </si>
  <si>
    <t>n (parcelas)</t>
  </si>
  <si>
    <t>W (suma pesos)</t>
  </si>
  <si>
    <t>Numerador (2×Σwᵢⱼdᵢdⱼ)</t>
  </si>
  <si>
    <t>I de Moran</t>
  </si>
  <si>
    <t>I &gt; E[I]?</t>
  </si>
  <si>
    <t>SÍ</t>
  </si>
  <si>
    <t>Conclusión;Agrupamiento fuerte</t>
  </si>
  <si>
    <t>Denilzon Robinho Tapara Tristan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</si>
</sst>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1F4E79"/>
      <name val="Arial"/>
      <family val="2"/>
    </font>
    <font>
      <sz val="10"/>
      <name val="Arial"/>
      <family val="2"/>
    </font>
    <font>
      <b/>
      <sz val="10"/>
      <color rgb="FF375623"/>
      <name val="Arial"/>
      <family val="2"/>
    </font>
    <font>
      <b/>
      <sz val="11"/>
      <color rgb="FF375623"/>
      <name val="Arial"/>
      <family val="2"/>
    </font>
    <font>
      <b/>
      <sz val="10"/>
      <name val="Arial"/>
      <family val="2"/>
    </font>
    <font>
      <sz val="9"/>
      <color rgb="FF595959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4472C4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375623"/>
      </left>
      <right style="medium">
        <color rgb="FF375623"/>
      </right>
      <top style="medium">
        <color rgb="FF375623"/>
      </top>
      <bottom style="medium">
        <color rgb="FF3756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2" fontId="4" fillId="4" borderId="2" xfId="0" applyNumberFormat="1" applyFont="1" applyFill="1" applyBorder="1" applyAlignment="1">
      <alignment horizontal="center"/>
    </xf>
    <xf numFmtId="168" fontId="5" fillId="5" borderId="2" xfId="0" applyNumberFormat="1" applyFont="1" applyFill="1" applyBorder="1" applyAlignment="1">
      <alignment horizontal="center"/>
    </xf>
    <xf numFmtId="168" fontId="5" fillId="6" borderId="2" xfId="0" applyNumberFormat="1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 vertical="center"/>
    </xf>
    <xf numFmtId="168" fontId="7" fillId="7" borderId="3" xfId="0" applyNumberFormat="1" applyFont="1" applyFill="1" applyBorder="1" applyAlignment="1">
      <alignment horizontal="center"/>
    </xf>
    <xf numFmtId="0" fontId="8" fillId="0" borderId="0" xfId="0" applyFont="1"/>
    <xf numFmtId="168" fontId="9" fillId="0" borderId="0" xfId="0" applyNumberFormat="1" applyFont="1"/>
    <xf numFmtId="0" fontId="0" fillId="8" borderId="0" xfId="0" applyFill="1" applyAlignment="1">
      <alignment horizontal="center"/>
    </xf>
    <xf numFmtId="2" fontId="0" fillId="0" borderId="0" xfId="0" applyNumberFormat="1"/>
    <xf numFmtId="0" fontId="0" fillId="9" borderId="1" xfId="0" applyFill="1" applyBorder="1"/>
    <xf numFmtId="0" fontId="0" fillId="10" borderId="0" xfId="0" applyFill="1"/>
    <xf numFmtId="0" fontId="1" fillId="8" borderId="0" xfId="0" applyFont="1" applyFill="1"/>
    <xf numFmtId="0" fontId="0" fillId="11" borderId="0" xfId="0" applyFill="1"/>
    <xf numFmtId="0" fontId="0" fillId="12" borderId="0" xfId="0" applyFill="1"/>
    <xf numFmtId="168" fontId="0" fillId="8" borderId="1" xfId="0" applyNumberFormat="1" applyFill="1" applyBorder="1"/>
    <xf numFmtId="0" fontId="0" fillId="8" borderId="1" xfId="0" applyFill="1" applyBorder="1"/>
    <xf numFmtId="168" fontId="1" fillId="8" borderId="4" xfId="0" applyNumberFormat="1" applyFont="1" applyFill="1" applyBorder="1"/>
    <xf numFmtId="168" fontId="1" fillId="8" borderId="1" xfId="0" applyNumberFormat="1" applyFont="1" applyFill="1" applyBorder="1"/>
    <xf numFmtId="0" fontId="10" fillId="2" borderId="2" xfId="0" applyFont="1" applyFill="1" applyBorder="1" applyAlignment="1">
      <alignment horizontal="center" vertical="center"/>
    </xf>
    <xf numFmtId="168" fontId="11" fillId="5" borderId="2" xfId="0" applyNumberFormat="1" applyFont="1" applyFill="1" applyBorder="1" applyAlignment="1">
      <alignment horizontal="center"/>
    </xf>
    <xf numFmtId="168" fontId="7" fillId="7" borderId="2" xfId="0" applyNumberFormat="1" applyFont="1" applyFill="1" applyBorder="1" applyAlignment="1">
      <alignment horizontal="center"/>
    </xf>
    <xf numFmtId="168" fontId="12" fillId="5" borderId="2" xfId="0" applyNumberFormat="1" applyFont="1" applyFill="1" applyBorder="1" applyAlignment="1">
      <alignment horizontal="center"/>
    </xf>
    <xf numFmtId="0" fontId="0" fillId="12" borderId="1" xfId="0" applyFill="1" applyBorder="1"/>
    <xf numFmtId="0" fontId="0" fillId="11" borderId="1" xfId="0" applyFill="1" applyBorder="1"/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A8F4-B420-4EA0-98DC-844105A89877}">
  <dimension ref="B1:U77"/>
  <sheetViews>
    <sheetView tabSelected="1" topLeftCell="B1" workbookViewId="0">
      <selection activeCell="B3" sqref="B3"/>
    </sheetView>
  </sheetViews>
  <sheetFormatPr baseColWidth="10" defaultRowHeight="15" x14ac:dyDescent="0.25"/>
  <sheetData>
    <row r="1" spans="2:16" x14ac:dyDescent="0.25">
      <c r="E1" s="12" t="s">
        <v>0</v>
      </c>
      <c r="F1" s="12"/>
      <c r="G1" s="12"/>
      <c r="H1" s="12"/>
      <c r="I1" s="12"/>
    </row>
    <row r="2" spans="2:16" x14ac:dyDescent="0.25">
      <c r="C2" t="s">
        <v>74</v>
      </c>
    </row>
    <row r="4" spans="2:16" x14ac:dyDescent="0.25">
      <c r="B4" t="s">
        <v>11</v>
      </c>
      <c r="L4" s="10"/>
      <c r="M4" s="11"/>
    </row>
    <row r="6" spans="2:16" x14ac:dyDescent="0.25">
      <c r="D6" t="s">
        <v>12</v>
      </c>
      <c r="H6" t="s">
        <v>10</v>
      </c>
    </row>
    <row r="8" spans="2:16" x14ac:dyDescent="0.25">
      <c r="C8" s="1">
        <v>2.1</v>
      </c>
      <c r="D8" s="1">
        <v>2</v>
      </c>
      <c r="E8" s="1">
        <v>1.6</v>
      </c>
      <c r="H8" s="1" t="s">
        <v>1</v>
      </c>
      <c r="I8" s="1" t="s">
        <v>4</v>
      </c>
      <c r="J8" s="1" t="s">
        <v>7</v>
      </c>
    </row>
    <row r="9" spans="2:16" x14ac:dyDescent="0.25">
      <c r="C9" s="1">
        <v>1.6</v>
      </c>
      <c r="D9" s="1">
        <v>1.8</v>
      </c>
      <c r="E9" s="1">
        <v>1.5</v>
      </c>
      <c r="H9" s="1" t="s">
        <v>2</v>
      </c>
      <c r="I9" s="1" t="s">
        <v>5</v>
      </c>
      <c r="J9" s="1" t="s">
        <v>8</v>
      </c>
    </row>
    <row r="10" spans="2:16" x14ac:dyDescent="0.25">
      <c r="C10" s="1">
        <v>1.7</v>
      </c>
      <c r="D10" s="1">
        <v>1.4</v>
      </c>
      <c r="E10" s="1">
        <v>1.3</v>
      </c>
      <c r="H10" s="1" t="s">
        <v>3</v>
      </c>
      <c r="I10" s="1" t="s">
        <v>6</v>
      </c>
      <c r="J10" s="1" t="s">
        <v>9</v>
      </c>
    </row>
    <row r="12" spans="2:16" x14ac:dyDescent="0.25">
      <c r="C12" s="2" t="s">
        <v>13</v>
      </c>
      <c r="D12" s="2"/>
      <c r="E12" s="2"/>
      <c r="F12" s="2"/>
      <c r="G12" s="2"/>
      <c r="H12" s="2"/>
      <c r="I12" s="2"/>
      <c r="J12" s="2"/>
      <c r="K12" s="2"/>
      <c r="L12" s="2"/>
      <c r="O12" t="s">
        <v>19</v>
      </c>
      <c r="P12" s="13">
        <f>AVERAGE(D14:L14)</f>
        <v>1.7000000000000002</v>
      </c>
    </row>
    <row r="13" spans="2:16" x14ac:dyDescent="0.25">
      <c r="C13" s="3" t="s">
        <v>14</v>
      </c>
      <c r="D13" s="3" t="s">
        <v>1</v>
      </c>
      <c r="E13" s="3" t="s">
        <v>2</v>
      </c>
      <c r="F13" s="3" t="s">
        <v>3</v>
      </c>
      <c r="G13" s="3" t="s">
        <v>4</v>
      </c>
      <c r="H13" s="3" t="s">
        <v>5</v>
      </c>
      <c r="I13" s="3" t="s">
        <v>6</v>
      </c>
      <c r="J13" s="3" t="s">
        <v>7</v>
      </c>
      <c r="K13" s="3" t="s">
        <v>8</v>
      </c>
      <c r="L13" s="3" t="s">
        <v>9</v>
      </c>
    </row>
    <row r="14" spans="2:16" x14ac:dyDescent="0.25">
      <c r="C14" s="4" t="s">
        <v>15</v>
      </c>
      <c r="D14" s="5">
        <v>2.1</v>
      </c>
      <c r="E14" s="5">
        <v>2</v>
      </c>
      <c r="F14" s="5">
        <v>1.6</v>
      </c>
      <c r="G14" s="5">
        <v>1.9</v>
      </c>
      <c r="H14" s="5">
        <v>1.8</v>
      </c>
      <c r="I14" s="5">
        <v>1.5</v>
      </c>
      <c r="J14" s="5">
        <v>1.7</v>
      </c>
      <c r="K14" s="5">
        <v>1.4</v>
      </c>
      <c r="L14" s="5">
        <v>1.3</v>
      </c>
    </row>
    <row r="15" spans="2:16" x14ac:dyDescent="0.25">
      <c r="C15" s="4" t="s">
        <v>16</v>
      </c>
      <c r="D15" s="6">
        <f>D14-$P$12</f>
        <v>0.39999999999999991</v>
      </c>
      <c r="E15" s="6">
        <f>E14-$P$12</f>
        <v>0.29999999999999982</v>
      </c>
      <c r="F15" s="6">
        <f>F14-$P$12</f>
        <v>-0.10000000000000009</v>
      </c>
      <c r="G15" s="6">
        <f>G14-$P$12</f>
        <v>0.19999999999999973</v>
      </c>
      <c r="H15" s="6">
        <f>H14-$P$12</f>
        <v>9.9999999999999867E-2</v>
      </c>
      <c r="I15" s="6">
        <f>I14-$P$12</f>
        <v>-0.20000000000000018</v>
      </c>
      <c r="J15" s="6">
        <f>J14-$P$12</f>
        <v>0</v>
      </c>
      <c r="K15" s="6">
        <f>K14-$P$12</f>
        <v>-0.30000000000000027</v>
      </c>
      <c r="L15" s="6">
        <f>L14-$P$12</f>
        <v>-0.40000000000000013</v>
      </c>
    </row>
    <row r="16" spans="2:16" ht="15.75" thickBot="1" x14ac:dyDescent="0.3">
      <c r="C16" s="4" t="s">
        <v>17</v>
      </c>
      <c r="D16" s="7">
        <f t="shared" ref="D16:J16" si="0">D15^2</f>
        <v>0.15999999999999992</v>
      </c>
      <c r="E16" s="7">
        <f t="shared" si="0"/>
        <v>8.99999999999999E-2</v>
      </c>
      <c r="F16" s="7">
        <f t="shared" si="0"/>
        <v>1.0000000000000018E-2</v>
      </c>
      <c r="G16" s="7">
        <f t="shared" si="0"/>
        <v>3.9999999999999897E-2</v>
      </c>
      <c r="H16" s="7">
        <f t="shared" si="0"/>
        <v>9.9999999999999742E-3</v>
      </c>
      <c r="I16" s="7">
        <f t="shared" si="0"/>
        <v>4.000000000000007E-2</v>
      </c>
      <c r="J16" s="7">
        <f t="shared" si="0"/>
        <v>0</v>
      </c>
      <c r="K16" s="7">
        <f>K15^2</f>
        <v>9.0000000000000163E-2</v>
      </c>
      <c r="L16" s="7">
        <f>L15^2</f>
        <v>0.16000000000000011</v>
      </c>
    </row>
    <row r="17" spans="3:20" ht="15.75" thickBot="1" x14ac:dyDescent="0.3">
      <c r="C17" s="8" t="s">
        <v>18</v>
      </c>
      <c r="D17" s="9">
        <f>SUM(D16:L16)</f>
        <v>0.60000000000000009</v>
      </c>
      <c r="E17" s="9"/>
      <c r="F17" s="9"/>
      <c r="G17" s="9"/>
      <c r="H17" s="9"/>
      <c r="I17" s="9"/>
      <c r="J17" s="9"/>
      <c r="K17" s="9"/>
      <c r="L17" s="9"/>
    </row>
    <row r="21" spans="3:20" x14ac:dyDescent="0.25">
      <c r="C21" t="s">
        <v>24</v>
      </c>
    </row>
    <row r="22" spans="3:20" x14ac:dyDescent="0.25">
      <c r="C22" s="15" t="s">
        <v>20</v>
      </c>
      <c r="D22" s="15"/>
      <c r="E22" s="15"/>
      <c r="K22" s="15" t="s">
        <v>21</v>
      </c>
      <c r="L22" s="15"/>
      <c r="M22" s="15"/>
      <c r="N22" s="15"/>
    </row>
    <row r="23" spans="3:20" x14ac:dyDescent="0.25">
      <c r="C23" s="1"/>
      <c r="D23" s="14" t="s">
        <v>1</v>
      </c>
      <c r="E23" s="14" t="s">
        <v>2</v>
      </c>
      <c r="F23" s="14" t="s">
        <v>3</v>
      </c>
      <c r="G23" s="14" t="s">
        <v>4</v>
      </c>
      <c r="H23" s="14" t="s">
        <v>5</v>
      </c>
      <c r="K23" s="1"/>
      <c r="L23" s="14" t="s">
        <v>1</v>
      </c>
      <c r="M23" s="14" t="s">
        <v>2</v>
      </c>
      <c r="N23" s="14" t="s">
        <v>3</v>
      </c>
      <c r="O23" s="14" t="s">
        <v>4</v>
      </c>
      <c r="P23" s="14" t="s">
        <v>5</v>
      </c>
      <c r="Q23" s="14" t="s">
        <v>6</v>
      </c>
      <c r="R23" s="14" t="s">
        <v>7</v>
      </c>
      <c r="S23" s="14" t="s">
        <v>8</v>
      </c>
      <c r="T23" s="14" t="s">
        <v>9</v>
      </c>
    </row>
    <row r="24" spans="3:20" x14ac:dyDescent="0.25">
      <c r="C24" s="1" t="s">
        <v>1</v>
      </c>
      <c r="D24" s="1">
        <v>0</v>
      </c>
      <c r="E24" s="1">
        <v>1</v>
      </c>
      <c r="F24" s="1">
        <v>0</v>
      </c>
      <c r="G24" s="1">
        <v>1</v>
      </c>
      <c r="H24" s="1">
        <v>0</v>
      </c>
      <c r="K24" s="1" t="s">
        <v>1</v>
      </c>
      <c r="L24" s="1">
        <v>0</v>
      </c>
      <c r="M24" s="1">
        <v>1</v>
      </c>
      <c r="N24" s="1">
        <v>0</v>
      </c>
      <c r="O24" s="1">
        <v>1</v>
      </c>
      <c r="P24" s="1">
        <v>1</v>
      </c>
      <c r="Q24" s="1">
        <v>0</v>
      </c>
      <c r="R24" s="1">
        <v>0</v>
      </c>
      <c r="S24" s="1">
        <v>0</v>
      </c>
      <c r="T24" s="1">
        <v>0</v>
      </c>
    </row>
    <row r="25" spans="3:20" x14ac:dyDescent="0.25">
      <c r="C25" s="1" t="s">
        <v>2</v>
      </c>
      <c r="D25" s="1">
        <v>1</v>
      </c>
      <c r="E25" s="1">
        <v>0</v>
      </c>
      <c r="F25" s="1">
        <v>1</v>
      </c>
      <c r="G25" s="1">
        <v>0</v>
      </c>
      <c r="H25" s="1">
        <v>1</v>
      </c>
      <c r="K25" s="1" t="s">
        <v>2</v>
      </c>
      <c r="L25" s="1">
        <v>1</v>
      </c>
      <c r="M25" s="1">
        <v>0</v>
      </c>
      <c r="N25" s="1">
        <v>1</v>
      </c>
      <c r="O25" s="1">
        <v>1</v>
      </c>
      <c r="P25" s="1">
        <v>1</v>
      </c>
      <c r="Q25" s="1">
        <v>1</v>
      </c>
      <c r="R25" s="1">
        <v>0</v>
      </c>
      <c r="S25" s="1">
        <v>0</v>
      </c>
      <c r="T25" s="1">
        <v>0</v>
      </c>
    </row>
    <row r="26" spans="3:20" x14ac:dyDescent="0.25">
      <c r="C26" s="1" t="s">
        <v>3</v>
      </c>
      <c r="D26" s="1">
        <v>0</v>
      </c>
      <c r="E26" s="1">
        <v>1</v>
      </c>
      <c r="F26" s="1">
        <v>0</v>
      </c>
      <c r="G26" s="1">
        <v>0</v>
      </c>
      <c r="H26" s="1">
        <v>0</v>
      </c>
      <c r="K26" s="1" t="s">
        <v>3</v>
      </c>
      <c r="L26" s="1">
        <v>0</v>
      </c>
      <c r="M26" s="1">
        <v>1</v>
      </c>
      <c r="N26" s="1">
        <v>0</v>
      </c>
      <c r="O26" s="1">
        <v>0</v>
      </c>
      <c r="P26" s="1">
        <v>1</v>
      </c>
      <c r="Q26" s="1">
        <v>1</v>
      </c>
      <c r="R26" s="1">
        <v>0</v>
      </c>
      <c r="S26" s="1">
        <v>0</v>
      </c>
      <c r="T26" s="1">
        <v>0</v>
      </c>
    </row>
    <row r="27" spans="3:20" x14ac:dyDescent="0.25">
      <c r="C27" s="1" t="s">
        <v>4</v>
      </c>
      <c r="D27" s="1">
        <v>1</v>
      </c>
      <c r="E27" s="1">
        <v>0</v>
      </c>
      <c r="F27" s="1">
        <v>0</v>
      </c>
      <c r="G27" s="1">
        <v>0</v>
      </c>
      <c r="H27" s="1">
        <v>1</v>
      </c>
      <c r="K27" s="1" t="s">
        <v>4</v>
      </c>
      <c r="L27" s="1">
        <v>1</v>
      </c>
      <c r="M27" s="1">
        <v>1</v>
      </c>
      <c r="N27" s="1">
        <v>0</v>
      </c>
      <c r="O27" s="1">
        <v>0</v>
      </c>
      <c r="P27" s="1">
        <v>1</v>
      </c>
      <c r="Q27" s="1">
        <v>0</v>
      </c>
      <c r="R27" s="1">
        <v>1</v>
      </c>
      <c r="S27" s="1">
        <v>1</v>
      </c>
      <c r="T27" s="1">
        <v>0</v>
      </c>
    </row>
    <row r="28" spans="3:20" x14ac:dyDescent="0.25">
      <c r="C28" s="1" t="s">
        <v>5</v>
      </c>
      <c r="D28" s="1">
        <v>0</v>
      </c>
      <c r="E28" s="1">
        <v>1</v>
      </c>
      <c r="F28" s="1">
        <v>0</v>
      </c>
      <c r="G28" s="1">
        <v>1</v>
      </c>
      <c r="H28" s="1">
        <v>0</v>
      </c>
      <c r="K28" s="1" t="s">
        <v>5</v>
      </c>
      <c r="L28" s="1">
        <v>1</v>
      </c>
      <c r="M28" s="1">
        <v>1</v>
      </c>
      <c r="N28" s="1">
        <v>1</v>
      </c>
      <c r="O28" s="1">
        <v>1</v>
      </c>
      <c r="P28" s="1">
        <v>0</v>
      </c>
      <c r="Q28" s="1">
        <v>1</v>
      </c>
      <c r="R28" s="1">
        <v>1</v>
      </c>
      <c r="S28" s="1">
        <v>1</v>
      </c>
      <c r="T28" s="1">
        <v>1</v>
      </c>
    </row>
    <row r="29" spans="3:20" x14ac:dyDescent="0.25">
      <c r="C29" s="1" t="s">
        <v>6</v>
      </c>
      <c r="D29" s="1">
        <v>0</v>
      </c>
      <c r="E29" s="1">
        <v>0</v>
      </c>
      <c r="F29" s="1">
        <v>1</v>
      </c>
      <c r="G29" s="1">
        <v>0</v>
      </c>
      <c r="H29" s="1">
        <v>1</v>
      </c>
      <c r="K29" s="1" t="s">
        <v>6</v>
      </c>
      <c r="L29" s="1">
        <v>0</v>
      </c>
      <c r="M29" s="1">
        <v>1</v>
      </c>
      <c r="N29" s="1">
        <v>1</v>
      </c>
      <c r="O29" s="1">
        <v>0</v>
      </c>
      <c r="P29" s="1">
        <v>1</v>
      </c>
      <c r="Q29" s="1">
        <v>0</v>
      </c>
      <c r="R29" s="1">
        <v>0</v>
      </c>
      <c r="S29" s="1">
        <v>1</v>
      </c>
      <c r="T29" s="1">
        <v>1</v>
      </c>
    </row>
    <row r="30" spans="3:20" x14ac:dyDescent="0.25">
      <c r="C30" s="1" t="s">
        <v>7</v>
      </c>
      <c r="D30" s="1">
        <v>0</v>
      </c>
      <c r="E30" s="1">
        <v>0</v>
      </c>
      <c r="F30" s="1">
        <v>0</v>
      </c>
      <c r="G30" s="1">
        <v>1</v>
      </c>
      <c r="H30" s="1">
        <v>0</v>
      </c>
      <c r="K30" s="1" t="s">
        <v>7</v>
      </c>
      <c r="L30" s="1">
        <v>0</v>
      </c>
      <c r="M30" s="1">
        <v>0</v>
      </c>
      <c r="N30" s="1">
        <v>0</v>
      </c>
      <c r="O30" s="1">
        <v>1</v>
      </c>
      <c r="P30" s="1">
        <v>1</v>
      </c>
      <c r="Q30" s="1">
        <v>0</v>
      </c>
      <c r="R30" s="1">
        <v>0</v>
      </c>
      <c r="S30" s="1">
        <v>1</v>
      </c>
      <c r="T30" s="1">
        <v>0</v>
      </c>
    </row>
    <row r="31" spans="3:20" x14ac:dyDescent="0.25">
      <c r="C31" s="1" t="s">
        <v>8</v>
      </c>
      <c r="D31" s="1">
        <v>0</v>
      </c>
      <c r="E31" s="1">
        <v>0</v>
      </c>
      <c r="F31" s="1">
        <v>0</v>
      </c>
      <c r="G31" s="1">
        <v>0</v>
      </c>
      <c r="H31" s="1">
        <v>1</v>
      </c>
      <c r="K31" s="1" t="s">
        <v>8</v>
      </c>
      <c r="L31" s="1">
        <v>0</v>
      </c>
      <c r="M31" s="1">
        <v>0</v>
      </c>
      <c r="N31" s="1">
        <v>0</v>
      </c>
      <c r="O31" s="1">
        <v>1</v>
      </c>
      <c r="P31" s="1">
        <v>1</v>
      </c>
      <c r="Q31" s="1">
        <v>1</v>
      </c>
      <c r="R31" s="1">
        <v>1</v>
      </c>
      <c r="S31" s="1">
        <v>0</v>
      </c>
      <c r="T31" s="1">
        <v>1</v>
      </c>
    </row>
    <row r="32" spans="3:20" x14ac:dyDescent="0.25">
      <c r="C32" s="1" t="s">
        <v>9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K32" s="1" t="s">
        <v>9</v>
      </c>
      <c r="L32" s="1">
        <v>0</v>
      </c>
      <c r="M32" s="1">
        <v>0</v>
      </c>
      <c r="N32" s="1">
        <v>0</v>
      </c>
      <c r="O32" s="1">
        <v>0</v>
      </c>
      <c r="P32" s="1">
        <v>1</v>
      </c>
      <c r="Q32" s="1">
        <v>1</v>
      </c>
      <c r="R32" s="1">
        <v>0</v>
      </c>
      <c r="S32" s="1">
        <v>1</v>
      </c>
      <c r="T32" s="1">
        <v>0</v>
      </c>
    </row>
    <row r="33" spans="3:20" x14ac:dyDescent="0.25">
      <c r="C33" s="16" t="s">
        <v>22</v>
      </c>
      <c r="K33" s="16" t="s">
        <v>23</v>
      </c>
    </row>
    <row r="35" spans="3:20" x14ac:dyDescent="0.25">
      <c r="C35" s="29" t="s">
        <v>25</v>
      </c>
      <c r="D35" s="29"/>
      <c r="E35" s="29"/>
      <c r="F35" s="29"/>
      <c r="P35" s="29" t="s">
        <v>61</v>
      </c>
      <c r="Q35" s="29"/>
      <c r="R35" s="29"/>
    </row>
    <row r="37" spans="3:20" x14ac:dyDescent="0.25">
      <c r="C37" s="17" t="s">
        <v>26</v>
      </c>
      <c r="D37" s="17" t="s">
        <v>27</v>
      </c>
      <c r="E37" s="17" t="s">
        <v>28</v>
      </c>
      <c r="F37" s="17" t="s">
        <v>29</v>
      </c>
      <c r="P37" s="27" t="s">
        <v>26</v>
      </c>
      <c r="Q37" s="27" t="s">
        <v>27</v>
      </c>
      <c r="R37" s="27" t="s">
        <v>28</v>
      </c>
      <c r="S37" s="27" t="s">
        <v>29</v>
      </c>
      <c r="T37" s="27" t="s">
        <v>50</v>
      </c>
    </row>
    <row r="38" spans="3:20" x14ac:dyDescent="0.25">
      <c r="C38" s="20" t="s">
        <v>30</v>
      </c>
      <c r="D38" s="19">
        <v>0.39999999999999991</v>
      </c>
      <c r="E38" s="19">
        <v>0.29999999999999982</v>
      </c>
      <c r="F38" s="19">
        <v>0.1199999999999999</v>
      </c>
      <c r="P38" s="28" t="s">
        <v>30</v>
      </c>
      <c r="Q38" s="1">
        <v>0.39999999999999991</v>
      </c>
      <c r="R38" s="1">
        <v>0.29999999999999982</v>
      </c>
      <c r="S38" s="1">
        <v>0.1199999999999999</v>
      </c>
      <c r="T38" s="1" t="s">
        <v>51</v>
      </c>
    </row>
    <row r="39" spans="3:20" x14ac:dyDescent="0.25">
      <c r="C39" s="20" t="s">
        <v>31</v>
      </c>
      <c r="D39" s="19">
        <v>0.39999999999999991</v>
      </c>
      <c r="E39" s="19">
        <v>0.19999999999999973</v>
      </c>
      <c r="F39" s="19">
        <v>7.9999999999999877E-2</v>
      </c>
      <c r="P39" s="28" t="s">
        <v>31</v>
      </c>
      <c r="Q39" s="1">
        <v>0.39999999999999991</v>
      </c>
      <c r="R39" s="1">
        <v>0.19999999999999973</v>
      </c>
      <c r="S39" s="1">
        <v>7.9999999999999877E-2</v>
      </c>
      <c r="T39" s="1" t="s">
        <v>51</v>
      </c>
    </row>
    <row r="40" spans="3:20" x14ac:dyDescent="0.25">
      <c r="C40" s="20" t="s">
        <v>32</v>
      </c>
      <c r="D40" s="19">
        <v>0.29999999999999982</v>
      </c>
      <c r="E40" s="19">
        <v>-0.10000000000000009</v>
      </c>
      <c r="F40" s="19">
        <v>-3.0000000000000009E-2</v>
      </c>
      <c r="P40" s="28" t="s">
        <v>32</v>
      </c>
      <c r="Q40" s="1">
        <v>0.29999999999999982</v>
      </c>
      <c r="R40" s="1">
        <v>-0.10000000000000009</v>
      </c>
      <c r="S40" s="1">
        <v>-3.0000000000000009E-2</v>
      </c>
      <c r="T40" s="1" t="s">
        <v>51</v>
      </c>
    </row>
    <row r="41" spans="3:20" x14ac:dyDescent="0.25">
      <c r="C41" s="20" t="s">
        <v>33</v>
      </c>
      <c r="D41" s="19">
        <v>0.29999999999999982</v>
      </c>
      <c r="E41" s="19">
        <v>9.9999999999999867E-2</v>
      </c>
      <c r="F41" s="19">
        <v>2.9999999999999943E-2</v>
      </c>
      <c r="P41" s="28" t="s">
        <v>33</v>
      </c>
      <c r="Q41" s="1">
        <v>0.29999999999999982</v>
      </c>
      <c r="R41" s="1">
        <v>9.9999999999999867E-2</v>
      </c>
      <c r="S41" s="1">
        <v>2.9999999999999943E-2</v>
      </c>
      <c r="T41" s="1" t="s">
        <v>51</v>
      </c>
    </row>
    <row r="42" spans="3:20" x14ac:dyDescent="0.25">
      <c r="C42" s="20" t="s">
        <v>34</v>
      </c>
      <c r="D42" s="19">
        <v>-0.10000000000000009</v>
      </c>
      <c r="E42" s="19">
        <v>-0.20000000000000018</v>
      </c>
      <c r="F42" s="19">
        <v>2.0000000000000035E-2</v>
      </c>
      <c r="P42" s="28" t="s">
        <v>34</v>
      </c>
      <c r="Q42" s="1">
        <v>-0.10000000000000009</v>
      </c>
      <c r="R42" s="1">
        <v>-0.20000000000000018</v>
      </c>
      <c r="S42" s="1">
        <v>2.0000000000000035E-2</v>
      </c>
      <c r="T42" s="1" t="s">
        <v>51</v>
      </c>
    </row>
    <row r="43" spans="3:20" x14ac:dyDescent="0.25">
      <c r="C43" s="20" t="s">
        <v>35</v>
      </c>
      <c r="D43" s="19">
        <v>0.19999999999999973</v>
      </c>
      <c r="E43" s="19">
        <v>9.9999999999999867E-2</v>
      </c>
      <c r="F43" s="19">
        <v>1.9999999999999948E-2</v>
      </c>
      <c r="P43" s="28" t="s">
        <v>35</v>
      </c>
      <c r="Q43" s="1">
        <v>0.19999999999999973</v>
      </c>
      <c r="R43" s="1">
        <v>9.9999999999999867E-2</v>
      </c>
      <c r="S43" s="1">
        <v>1.9999999999999948E-2</v>
      </c>
      <c r="T43" s="1" t="s">
        <v>51</v>
      </c>
    </row>
    <row r="44" spans="3:20" x14ac:dyDescent="0.25">
      <c r="C44" s="20" t="s">
        <v>36</v>
      </c>
      <c r="D44" s="19">
        <v>0.19999999999999973</v>
      </c>
      <c r="E44" s="19">
        <v>0</v>
      </c>
      <c r="F44" s="19">
        <v>0</v>
      </c>
      <c r="I44" s="2" t="s">
        <v>49</v>
      </c>
      <c r="J44" s="2"/>
      <c r="K44" s="2"/>
      <c r="L44" s="2"/>
      <c r="M44" s="2"/>
      <c r="N44" s="2"/>
      <c r="P44" s="28" t="s">
        <v>36</v>
      </c>
      <c r="Q44" s="1">
        <v>0.19999999999999973</v>
      </c>
      <c r="R44" s="1">
        <v>0</v>
      </c>
      <c r="S44" s="1">
        <v>0</v>
      </c>
      <c r="T44" s="1" t="s">
        <v>51</v>
      </c>
    </row>
    <row r="45" spans="3:20" x14ac:dyDescent="0.25">
      <c r="C45" s="20" t="s">
        <v>37</v>
      </c>
      <c r="D45" s="19">
        <v>9.9999999999999867E-2</v>
      </c>
      <c r="E45" s="19">
        <v>-0.20000000000000018</v>
      </c>
      <c r="F45" s="19">
        <v>-1.999999999999999E-2</v>
      </c>
      <c r="I45" s="23" t="s">
        <v>44</v>
      </c>
      <c r="J45" s="23" t="s">
        <v>45</v>
      </c>
      <c r="K45" s="23" t="s">
        <v>46</v>
      </c>
      <c r="L45" s="23" t="s">
        <v>18</v>
      </c>
      <c r="M45" s="23" t="s">
        <v>47</v>
      </c>
      <c r="N45" s="23" t="s">
        <v>48</v>
      </c>
      <c r="P45" s="28" t="s">
        <v>37</v>
      </c>
      <c r="Q45" s="1">
        <v>9.9999999999999867E-2</v>
      </c>
      <c r="R45" s="1">
        <v>-0.20000000000000018</v>
      </c>
      <c r="S45" s="1">
        <v>-1.999999999999999E-2</v>
      </c>
      <c r="T45" s="1" t="s">
        <v>51</v>
      </c>
    </row>
    <row r="46" spans="3:20" x14ac:dyDescent="0.25">
      <c r="C46" s="20" t="s">
        <v>38</v>
      </c>
      <c r="D46" s="19">
        <v>9.9999999999999867E-2</v>
      </c>
      <c r="E46" s="19">
        <v>-0.30000000000000027</v>
      </c>
      <c r="F46" s="19">
        <v>-2.9999999999999985E-2</v>
      </c>
      <c r="I46" s="24">
        <v>9</v>
      </c>
      <c r="J46" s="24">
        <v>24</v>
      </c>
      <c r="K46" s="24">
        <f>F51</f>
        <v>0.77999999999999992</v>
      </c>
      <c r="L46" s="24">
        <f>D17</f>
        <v>0.60000000000000009</v>
      </c>
      <c r="M46" s="25">
        <f>(J46/K46)*(L46/D17)</f>
        <v>30.769230769230774</v>
      </c>
      <c r="N46" s="26">
        <v>-0.125</v>
      </c>
      <c r="P46" s="28" t="s">
        <v>38</v>
      </c>
      <c r="Q46" s="1">
        <v>9.9999999999999867E-2</v>
      </c>
      <c r="R46" s="1">
        <v>-0.30000000000000027</v>
      </c>
      <c r="S46" s="1">
        <v>-2.9999999999999985E-2</v>
      </c>
      <c r="T46" s="1" t="s">
        <v>51</v>
      </c>
    </row>
    <row r="47" spans="3:20" x14ac:dyDescent="0.25">
      <c r="C47" s="20" t="s">
        <v>39</v>
      </c>
      <c r="D47" s="19">
        <v>-0.20000000000000018</v>
      </c>
      <c r="E47" s="19">
        <v>-0.40000000000000013</v>
      </c>
      <c r="F47" s="19">
        <v>8.0000000000000099E-2</v>
      </c>
      <c r="P47" s="28" t="s">
        <v>39</v>
      </c>
      <c r="Q47" s="1">
        <v>-0.20000000000000018</v>
      </c>
      <c r="R47" s="1">
        <v>-0.40000000000000013</v>
      </c>
      <c r="S47" s="1">
        <v>8.0000000000000099E-2</v>
      </c>
      <c r="T47" s="1" t="s">
        <v>51</v>
      </c>
    </row>
    <row r="48" spans="3:20" x14ac:dyDescent="0.25">
      <c r="C48" s="20" t="s">
        <v>40</v>
      </c>
      <c r="D48" s="19">
        <v>0</v>
      </c>
      <c r="E48" s="19">
        <v>-0.30000000000000027</v>
      </c>
      <c r="F48" s="19">
        <v>0</v>
      </c>
      <c r="P48" s="28" t="s">
        <v>40</v>
      </c>
      <c r="Q48" s="1">
        <v>0</v>
      </c>
      <c r="R48" s="1">
        <v>-0.30000000000000027</v>
      </c>
      <c r="S48" s="1">
        <v>0</v>
      </c>
      <c r="T48" s="1" t="s">
        <v>51</v>
      </c>
    </row>
    <row r="49" spans="3:21" x14ac:dyDescent="0.25">
      <c r="C49" s="20" t="s">
        <v>41</v>
      </c>
      <c r="D49" s="19">
        <v>-0.30000000000000027</v>
      </c>
      <c r="E49" s="19">
        <v>-0.40000000000000013</v>
      </c>
      <c r="F49" s="19">
        <v>0.12000000000000015</v>
      </c>
      <c r="P49" s="28" t="s">
        <v>41</v>
      </c>
      <c r="Q49" s="1">
        <v>-0.30000000000000027</v>
      </c>
      <c r="R49" s="1">
        <v>-0.40000000000000013</v>
      </c>
      <c r="S49" s="1">
        <v>0.12000000000000015</v>
      </c>
      <c r="T49" s="1" t="s">
        <v>51</v>
      </c>
    </row>
    <row r="50" spans="3:21" x14ac:dyDescent="0.25">
      <c r="C50" s="18" t="s">
        <v>42</v>
      </c>
      <c r="D50" s="18"/>
      <c r="E50" s="18"/>
      <c r="F50" s="21">
        <v>0.38999999999999996</v>
      </c>
      <c r="P50" s="28" t="s">
        <v>52</v>
      </c>
      <c r="Q50" s="1">
        <v>0.39999999999999991</v>
      </c>
      <c r="R50" s="1">
        <v>9.9999999999999867E-2</v>
      </c>
      <c r="S50" s="1">
        <v>3.9999999999999938E-2</v>
      </c>
      <c r="T50" s="1" t="s">
        <v>53</v>
      </c>
    </row>
    <row r="51" spans="3:21" x14ac:dyDescent="0.25">
      <c r="C51" s="18" t="s">
        <v>43</v>
      </c>
      <c r="D51" s="18"/>
      <c r="E51" s="18"/>
      <c r="F51" s="22">
        <v>0.77999999999999992</v>
      </c>
      <c r="P51" s="28" t="s">
        <v>54</v>
      </c>
      <c r="Q51" s="1">
        <v>0.29999999999999982</v>
      </c>
      <c r="R51" s="1">
        <v>0.19999999999999973</v>
      </c>
      <c r="S51" s="1">
        <v>5.9999999999999887E-2</v>
      </c>
      <c r="T51" s="1" t="s">
        <v>53</v>
      </c>
    </row>
    <row r="52" spans="3:21" x14ac:dyDescent="0.25">
      <c r="P52" s="28" t="s">
        <v>55</v>
      </c>
      <c r="Q52" s="1">
        <v>0.29999999999999982</v>
      </c>
      <c r="R52" s="1">
        <v>-0.20000000000000018</v>
      </c>
      <c r="S52" s="1">
        <v>-6.0000000000000019E-2</v>
      </c>
      <c r="T52" s="1" t="s">
        <v>53</v>
      </c>
    </row>
    <row r="53" spans="3:21" x14ac:dyDescent="0.25">
      <c r="P53" s="28" t="s">
        <v>56</v>
      </c>
      <c r="Q53" s="1">
        <v>-0.10000000000000009</v>
      </c>
      <c r="R53" s="1">
        <v>9.9999999999999867E-2</v>
      </c>
      <c r="S53" s="1">
        <v>-9.999999999999995E-3</v>
      </c>
      <c r="T53" s="1" t="s">
        <v>53</v>
      </c>
    </row>
    <row r="54" spans="3:21" x14ac:dyDescent="0.25">
      <c r="P54" s="28" t="s">
        <v>57</v>
      </c>
      <c r="Q54" s="1">
        <v>0.19999999999999973</v>
      </c>
      <c r="R54" s="1">
        <v>-0.30000000000000027</v>
      </c>
      <c r="S54" s="1">
        <v>-5.999999999999997E-2</v>
      </c>
      <c r="T54" s="1" t="s">
        <v>53</v>
      </c>
    </row>
    <row r="55" spans="3:21" x14ac:dyDescent="0.25">
      <c r="P55" s="28" t="s">
        <v>58</v>
      </c>
      <c r="Q55" s="1">
        <v>9.9999999999999867E-2</v>
      </c>
      <c r="R55" s="1">
        <v>0</v>
      </c>
      <c r="S55" s="1">
        <v>0</v>
      </c>
      <c r="T55" s="1" t="s">
        <v>53</v>
      </c>
    </row>
    <row r="56" spans="3:21" x14ac:dyDescent="0.25">
      <c r="P56" s="28" t="s">
        <v>59</v>
      </c>
      <c r="Q56" s="1">
        <v>9.9999999999999867E-2</v>
      </c>
      <c r="R56" s="1">
        <v>-0.40000000000000013</v>
      </c>
      <c r="S56" s="1">
        <v>-3.9999999999999959E-2</v>
      </c>
      <c r="T56" s="1" t="s">
        <v>53</v>
      </c>
    </row>
    <row r="57" spans="3:21" x14ac:dyDescent="0.25">
      <c r="P57" s="28" t="s">
        <v>60</v>
      </c>
      <c r="Q57" s="1">
        <v>-0.20000000000000018</v>
      </c>
      <c r="R57" s="1">
        <v>-0.30000000000000027</v>
      </c>
      <c r="S57" s="1">
        <v>6.0000000000000109E-2</v>
      </c>
      <c r="T57" s="1" t="s">
        <v>53</v>
      </c>
    </row>
    <row r="58" spans="3:21" x14ac:dyDescent="0.25">
      <c r="P58" s="15" t="s">
        <v>42</v>
      </c>
      <c r="Q58" s="15"/>
      <c r="R58" s="15"/>
      <c r="S58" s="1">
        <f>SUM(S38:S57)</f>
        <v>0.37999999999999989</v>
      </c>
    </row>
    <row r="59" spans="3:21" x14ac:dyDescent="0.25">
      <c r="P59" s="15" t="s">
        <v>43</v>
      </c>
      <c r="Q59" s="15"/>
      <c r="R59" s="15"/>
      <c r="S59" s="1">
        <f>S58*2</f>
        <v>0.75999999999999979</v>
      </c>
    </row>
    <row r="61" spans="3:21" x14ac:dyDescent="0.25">
      <c r="P61" s="28" t="s">
        <v>62</v>
      </c>
      <c r="Q61" s="28"/>
      <c r="R61" s="28"/>
      <c r="S61" s="28"/>
      <c r="T61" s="28"/>
      <c r="U61" s="28"/>
    </row>
    <row r="62" spans="3:21" x14ac:dyDescent="0.25">
      <c r="P62" s="28" t="s">
        <v>44</v>
      </c>
      <c r="Q62" s="28" t="s">
        <v>45</v>
      </c>
      <c r="R62" s="28" t="s">
        <v>46</v>
      </c>
      <c r="S62" s="28" t="s">
        <v>18</v>
      </c>
      <c r="T62" s="28" t="s">
        <v>47</v>
      </c>
      <c r="U62" s="28" t="s">
        <v>48</v>
      </c>
    </row>
    <row r="63" spans="3:21" x14ac:dyDescent="0.25">
      <c r="P63" s="1">
        <v>9</v>
      </c>
      <c r="Q63" s="1">
        <v>40</v>
      </c>
      <c r="R63" s="1">
        <v>0.75999999999999979</v>
      </c>
      <c r="S63" s="1">
        <v>0.60000000000000009</v>
      </c>
      <c r="T63" s="1">
        <v>52.631578947368439</v>
      </c>
      <c r="U63" s="1">
        <v>-0.125</v>
      </c>
    </row>
    <row r="66" spans="6:12" x14ac:dyDescent="0.25">
      <c r="G66" s="12" t="s">
        <v>63</v>
      </c>
      <c r="H66" s="12"/>
      <c r="I66" s="12"/>
      <c r="J66" s="12"/>
    </row>
    <row r="68" spans="6:12" x14ac:dyDescent="0.25">
      <c r="G68" s="27" t="s">
        <v>64</v>
      </c>
      <c r="H68" s="27" t="s">
        <v>65</v>
      </c>
      <c r="I68" s="27" t="s">
        <v>66</v>
      </c>
    </row>
    <row r="69" spans="6:12" x14ac:dyDescent="0.25">
      <c r="G69" s="27" t="s">
        <v>67</v>
      </c>
      <c r="H69" s="27">
        <v>9</v>
      </c>
      <c r="I69" s="27">
        <v>9</v>
      </c>
    </row>
    <row r="70" spans="6:12" x14ac:dyDescent="0.25">
      <c r="G70" s="27" t="s">
        <v>68</v>
      </c>
      <c r="H70" s="27">
        <v>24</v>
      </c>
      <c r="I70" s="27">
        <v>40</v>
      </c>
    </row>
    <row r="71" spans="6:12" x14ac:dyDescent="0.25">
      <c r="G71" s="27" t="s">
        <v>18</v>
      </c>
      <c r="H71" s="27">
        <v>0.60000000000000009</v>
      </c>
      <c r="I71" s="27">
        <v>0.60000000000000009</v>
      </c>
    </row>
    <row r="72" spans="6:12" x14ac:dyDescent="0.25">
      <c r="G72" s="27" t="s">
        <v>69</v>
      </c>
      <c r="H72" s="27">
        <v>0.77999999999999992</v>
      </c>
      <c r="I72" s="27">
        <v>0.75999999999999979</v>
      </c>
    </row>
    <row r="73" spans="6:12" x14ac:dyDescent="0.25">
      <c r="G73" s="27" t="s">
        <v>70</v>
      </c>
      <c r="H73" s="27">
        <v>0</v>
      </c>
      <c r="I73" s="27">
        <v>0</v>
      </c>
    </row>
    <row r="74" spans="6:12" x14ac:dyDescent="0.25">
      <c r="G74" s="27" t="s">
        <v>48</v>
      </c>
      <c r="H74" s="27">
        <v>-0.125</v>
      </c>
      <c r="I74" s="27">
        <v>-0.125</v>
      </c>
    </row>
    <row r="75" spans="6:12" x14ac:dyDescent="0.25">
      <c r="G75" s="27" t="s">
        <v>71</v>
      </c>
      <c r="H75" s="27" t="s">
        <v>72</v>
      </c>
      <c r="I75" s="27" t="s">
        <v>72</v>
      </c>
    </row>
    <row r="76" spans="6:12" x14ac:dyDescent="0.25">
      <c r="F76" s="30" t="s">
        <v>73</v>
      </c>
      <c r="G76" s="30"/>
      <c r="H76" s="30"/>
      <c r="I76" s="30"/>
      <c r="J76" s="30"/>
      <c r="K76" s="30"/>
      <c r="L76" s="30"/>
    </row>
    <row r="77" spans="6:12" x14ac:dyDescent="0.25">
      <c r="F77" s="30"/>
      <c r="G77" s="30"/>
      <c r="H77" s="30"/>
      <c r="I77" s="30"/>
      <c r="J77" s="30"/>
      <c r="K77" s="30"/>
      <c r="L77" s="30"/>
    </row>
  </sheetData>
  <mergeCells count="8">
    <mergeCell ref="F76:L77"/>
    <mergeCell ref="G66:J66"/>
    <mergeCell ref="C35:F35"/>
    <mergeCell ref="P35:R35"/>
    <mergeCell ref="E1:I1"/>
    <mergeCell ref="I44:N44"/>
    <mergeCell ref="C12:L12"/>
    <mergeCell ref="D17:L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Denilzon Robinho Tapara Tristan</dc:creator>
  <cp:lastModifiedBy>Denilzon Robinho Tapara Tristan</cp:lastModifiedBy>
  <dcterms:created xsi:type="dcterms:W3CDTF">2026-06-22T21:15:24Z</dcterms:created>
  <dcterms:modified xsi:type="dcterms:W3CDTF">2026-06-22T21:54:23Z</dcterms:modified>
</cp:coreProperties>
</file>